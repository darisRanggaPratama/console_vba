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up2github\console_vba\Belajar Sendiri Membuat Fungsi Excel untuk Pemula_NO_PASSWORD\Bab 6 Fungsi Teks\Hasil\"/>
    </mc:Choice>
  </mc:AlternateContent>
  <xr:revisionPtr revIDLastSave="0" documentId="13_ncr:1_{622AB74B-8C8A-4F31-A3CF-007712D0ED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F4" i="1"/>
  <c r="F5" i="1"/>
  <c r="F6" i="1"/>
  <c r="F7" i="1"/>
  <c r="F8" i="1"/>
  <c r="F9" i="1"/>
  <c r="F3" i="1"/>
  <c r="E25" i="1" a="1"/>
  <c r="D25" i="1" a="1"/>
  <c r="E23" i="1" a="1"/>
  <c r="E24" i="1" a="1"/>
  <c r="E22" i="1" a="1"/>
  <c r="D23" i="1" a="1"/>
  <c r="D24" i="1" a="1"/>
  <c r="D22" i="1" a="1"/>
  <c r="E12" i="1" a="1"/>
  <c r="E20" i="1" a="1"/>
  <c r="E13" i="1" a="1"/>
  <c r="E21" i="1" a="1"/>
  <c r="E14" i="1" a="1"/>
  <c r="E15" i="1" a="1"/>
  <c r="E16" i="1" a="1"/>
  <c r="E17" i="1" a="1"/>
  <c r="E19" i="1" a="1"/>
  <c r="E18" i="1" a="1"/>
  <c r="D13" i="1" a="1"/>
  <c r="D17" i="1" a="1"/>
  <c r="D21" i="1" a="1"/>
  <c r="D14" i="1" a="1"/>
  <c r="D18" i="1" a="1"/>
  <c r="D15" i="1" a="1"/>
  <c r="D19" i="1" a="1"/>
  <c r="D12" i="1" a="1"/>
  <c r="D16" i="1" a="1"/>
  <c r="D20" i="1" a="1"/>
  <c r="E11" i="1" a="1"/>
  <c r="D11" i="1" a="1"/>
  <c r="E9" i="1" a="1"/>
  <c r="E8" i="1" a="1"/>
  <c r="E5" i="1" a="1"/>
  <c r="E6" i="1" a="1"/>
  <c r="E7" i="1" a="1"/>
  <c r="E4" i="1" a="1"/>
  <c r="E3" i="1" a="1"/>
  <c r="D9" i="1" a="1"/>
  <c r="D7" i="1"/>
  <c r="D6" i="1"/>
  <c r="D4" i="1"/>
  <c r="D3" i="1"/>
  <c r="D8" i="1"/>
  <c r="D5" i="1"/>
  <c r="E26" i="1" a="1"/>
  <c r="D26" i="1" a="1"/>
  <c r="E26" i="1" l="1"/>
  <c r="E25" i="1"/>
  <c r="D26" i="1"/>
  <c r="D25" i="1"/>
  <c r="E24" i="1"/>
  <c r="E23" i="1"/>
  <c r="F23" i="1" s="1"/>
  <c r="E22" i="1"/>
  <c r="D24" i="1"/>
  <c r="D23" i="1"/>
  <c r="D22" i="1"/>
  <c r="E18" i="1"/>
  <c r="F18" i="1" s="1"/>
  <c r="E19" i="1"/>
  <c r="F19" i="1" s="1"/>
  <c r="F26" i="1"/>
  <c r="F25" i="1"/>
  <c r="E17" i="1"/>
  <c r="F17" i="1" s="1"/>
  <c r="F24" i="1"/>
  <c r="E16" i="1"/>
  <c r="F16" i="1" s="1"/>
  <c r="E15" i="1"/>
  <c r="F15" i="1" s="1"/>
  <c r="F22" i="1"/>
  <c r="E14" i="1"/>
  <c r="F14" i="1" s="1"/>
  <c r="E21" i="1"/>
  <c r="F21" i="1" s="1"/>
  <c r="E13" i="1"/>
  <c r="F13" i="1" s="1"/>
  <c r="E20" i="1"/>
  <c r="F20" i="1" s="1"/>
  <c r="E12" i="1"/>
  <c r="F12" i="1" s="1"/>
  <c r="D20" i="1"/>
  <c r="D16" i="1"/>
  <c r="D12" i="1"/>
  <c r="D19" i="1"/>
  <c r="D15" i="1"/>
  <c r="D18" i="1"/>
  <c r="D14" i="1"/>
  <c r="D21" i="1"/>
  <c r="D17" i="1"/>
  <c r="D13" i="1"/>
  <c r="E11" i="1"/>
  <c r="D11" i="1"/>
  <c r="E9" i="1"/>
  <c r="E8" i="1"/>
  <c r="E7" i="1"/>
  <c r="E6" i="1"/>
  <c r="E5" i="1"/>
  <c r="E4" i="1"/>
  <c r="E3" i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<sst xmlns="http://schemas.openxmlformats.org/spreadsheetml/2006/main" count="8" uniqueCount="7">
  <si>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Data Angka</t>
  </si>
  <si>
    <t>m_huruf</t>
  </si>
  <si>
    <t>satuan</t>
  </si>
  <si>
    <t>Terbilang</t>
  </si>
  <si>
    <t>rupiah</t>
  </si>
  <si>
    <t>Penerapan Fungsi TERBILANG</t>
  </si>
  <si>
    <t>dollar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</si>
</sst>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center" vertical="center"/>
    </xf>
    <xf numFmtId="3" fontId="4" fillId="0" borderId="1" xfId="0" applyNumberFormat="1" applyFont="1" applyBorder="1"/>
    <xf numFmtId="3" fontId="4" fillId="0" borderId="0" xfId="0" applyNumberFormat="1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262FCB3-FFC8-4612-BF9A-2FD04FAEFA8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tabSelected="1" zoomScale="120" zoomScaleNormal="120" workbookViewId="0">
      <selection activeCell="D23" sqref="D23"/>
    </sheetView>
  </sheetViews>
  <sheetFormatPr defaultRowHeight="14.25" x14ac:dyDescent="0.2"/>
  <cols>
    <col min="1" max="1" width="17.75" customWidth="1"/>
    <col min="2" max="2" width="8.5" customWidth="1"/>
    <col min="3" max="3" width="6.625" customWidth="1"/>
    <col min="4" max="5" width="77.125" customWidth="1"/>
    <col min="6" max="6" width="5.5" bestFit="1" customWidth="1"/>
  </cols>
  <sheetData>
    <row r="1" spans="1:6" x14ac:dyDescent="0.2">
      <c r="A1" s="1" t="s">
        <v>5</v>
      </c>
      <c r="B1" s="2"/>
      <c r="C1" s="2"/>
      <c r="D1" s="3"/>
    </row>
    <row r="2" spans="1:6" x14ac:dyDescent="0.2">
      <c r="A2" s="4" t="s">
        <v>0</v>
      </c>
      <c r="B2" s="4" t="s">
        <v>1</v>
      </c>
      <c r="C2" s="4" t="s">
        <v>2</v>
      </c>
      <c r="D2" s="4" t="s">
        <v>3</v>
      </c>
    </row>
    <row r="3" spans="1:6" x14ac:dyDescent="0.2">
      <c r="A3" s="5">
        <v>253150250</v>
      </c>
      <c r="B3" s="5"/>
      <c r="C3" s="5"/>
      <c r="D3" s="5" t="str">
        <f>TERBILANG(A3)</f>
        <v>Dua ratus lima puluh tiga juta seratus lima puluh ribu dua ratus lima puluh</v>
      </c>
      <c r="E3" t="str" cm="1">
        <f t="array" ref="E3">SPELLNUMBER(A3)</f>
        <v>Dua ratus lima puluh tiga juta seratus lima puluh ribu dua ratus lima puluh</v>
      </c>
      <c r="F3" t="b">
        <f>E3=D3</f>
        <v>1</v>
      </c>
    </row>
    <row r="4" spans="1:6" x14ac:dyDescent="0.2">
      <c r="A4" s="5">
        <v>253150250</v>
      </c>
      <c r="B4" s="5">
        <v>1</v>
      </c>
      <c r="C4" s="5"/>
      <c r="D4" s="5" t="str">
        <f>TERBILANG(A4,B4)</f>
        <v>DUA RATUS LIMA PULUH TIGA JUTA SERATUS LIMA PULUH RIBU DUA RATUS LIMA PULUH</v>
      </c>
      <c r="E4" t="str" cm="1">
        <f t="array" ref="E4">SPELLNUMBER(A4,B4)</f>
        <v>DUA RATUS LIMA PULUH TIGA JUTA SERATUS LIMA PULUH RIBU DUA RATUS LIMA PULUH</v>
      </c>
      <c r="F4" t="b">
        <f t="shared" ref="F4:F26" si="0">E4=D4</f>
        <v>1</v>
      </c>
    </row>
    <row r="5" spans="1:6" x14ac:dyDescent="0.2">
      <c r="A5" s="5">
        <v>253150250</v>
      </c>
      <c r="B5" s="5">
        <v>2</v>
      </c>
      <c r="C5" s="5"/>
      <c r="D5" s="5" t="str">
        <f>TERBILANG(A5,B5)</f>
        <v>dua ratus lima puluh tiga juta seratus lima puluh ribu dua ratus lima puluh</v>
      </c>
      <c r="E5" t="str" cm="1">
        <f t="array" ref="E5">SPELLNUMBER(A5,B5)</f>
        <v>dua ratus lima puluh tiga juta seratus lima puluh ribu dua ratus lima puluh</v>
      </c>
      <c r="F5" t="b">
        <f t="shared" si="0"/>
        <v>1</v>
      </c>
    </row>
    <row r="6" spans="1:6" x14ac:dyDescent="0.2">
      <c r="A6" s="5">
        <v>253150250</v>
      </c>
      <c r="B6" s="5">
        <v>3</v>
      </c>
      <c r="C6" s="5"/>
      <c r="D6" s="5" t="str">
        <f>TERBILANG(A6,B6)</f>
        <v>Dua Ratus Lima Puluh Tiga Juta Seratus Lima Puluh Ribu Dua Ratus Lima Puluh</v>
      </c>
      <c r="E6" t="str" cm="1">
        <f t="array" ref="E6">SPELLNUMBER(A6,B6)</f>
        <v>Dua Ratus Lima Puluh Tiga Juta Seratus Lima Puluh Ribu Dua Ratus Lima Puluh</v>
      </c>
      <c r="F6" t="b">
        <f t="shared" si="0"/>
        <v>1</v>
      </c>
    </row>
    <row r="7" spans="1:6" x14ac:dyDescent="0.2">
      <c r="A7" s="5">
        <v>253150250</v>
      </c>
      <c r="B7" s="5">
        <v>4</v>
      </c>
      <c r="C7" s="5"/>
      <c r="D7" s="5" t="str">
        <f>TERBILANG(A7,B7)</f>
        <v>Dua ratus lima puluh tiga juta seratus lima puluh ribu dua ratus lima puluh</v>
      </c>
      <c r="E7" t="str" cm="1">
        <f t="array" ref="E7">SPELLNUMBER(A7,B7)</f>
        <v>Dua ratus lima puluh tiga juta seratus lima puluh ribu dua ratus lima puluh</v>
      </c>
      <c r="F7" t="b">
        <f t="shared" si="0"/>
        <v>1</v>
      </c>
    </row>
    <row r="8" spans="1:6" x14ac:dyDescent="0.2">
      <c r="A8" s="5">
        <v>253150250</v>
      </c>
      <c r="B8" s="5">
        <v>4</v>
      </c>
      <c r="C8" s="5" t="s">
        <v>4</v>
      </c>
      <c r="D8" s="5" t="str">
        <f>TERBILANG(A8,B8,C8)</f>
        <v>Dua ratus lima puluh tiga juta seratus lima puluh ribu dua ratus lima puluh rupiah</v>
      </c>
      <c r="E8" t="str" cm="1">
        <f t="array" ref="E8">SPELLNUMBER(A8,B8,C8)</f>
        <v>Dua ratus lima puluh tiga juta seratus lima puluh ribu dua ratus lima puluh rupiah</v>
      </c>
      <c r="F8" t="b">
        <f t="shared" si="0"/>
        <v>1</v>
      </c>
    </row>
    <row r="9" spans="1:6" x14ac:dyDescent="0.2">
      <c r="A9" s="5"/>
      <c r="B9" s="5"/>
      <c r="C9" s="5"/>
      <c r="D9" s="5" t="str" cm="1">
        <f t="array" ref="D9">TERBILANG(253150250,4,"rupiah")</f>
        <v>Dua ratus lima puluh tiga juta seratus lima puluh ribu dua ratus lima puluh rupiah</v>
      </c>
      <c r="E9" t="str" cm="1">
        <f t="array" ref="E9">SPELLNUMBER(253150250,4,"rupiah")</f>
        <v>Dua ratus lima puluh tiga juta seratus lima puluh ribu dua ratus lima puluh rupiah</v>
      </c>
      <c r="F9" t="b">
        <f t="shared" si="0"/>
        <v>1</v>
      </c>
    </row>
    <row r="11" spans="1:6" x14ac:dyDescent="0.2">
      <c r="A11" s="6">
        <v>0</v>
      </c>
      <c r="D11" t="str" cm="1">
        <f t="array" ref="D11">TERBILANG(A11)</f>
        <v>Nol</v>
      </c>
      <c r="E11" t="str" cm="1">
        <f t="array" ref="E11">SPELLNUMBER(A11)</f>
        <v>Nol</v>
      </c>
      <c r="F11" t="b">
        <f t="shared" si="0"/>
        <v>1</v>
      </c>
    </row>
    <row r="12" spans="1:6" x14ac:dyDescent="0.2">
      <c r="A12" s="6">
        <v>1</v>
      </c>
      <c r="D12" t="str" cm="1">
        <f t="array" ref="D12">TERBILANG(A12)</f>
        <v>Satu</v>
      </c>
      <c r="E12" t="str" cm="1">
        <f t="array" ref="E12">SPELLNUMBER(A12)</f>
        <v>Satu</v>
      </c>
      <c r="F12" t="b">
        <f t="shared" si="0"/>
        <v>1</v>
      </c>
    </row>
    <row r="13" spans="1:6" x14ac:dyDescent="0.2">
      <c r="A13" s="6">
        <v>12</v>
      </c>
      <c r="D13" t="str" cm="1">
        <f t="array" ref="D13">TERBILANG(A13)</f>
        <v>Dua belas</v>
      </c>
      <c r="E13" t="str" cm="1">
        <f t="array" ref="E13">SPELLNUMBER(A13)</f>
        <v>Dua belas</v>
      </c>
      <c r="F13" t="b">
        <f t="shared" si="0"/>
        <v>1</v>
      </c>
    </row>
    <row r="14" spans="1:6" x14ac:dyDescent="0.2">
      <c r="A14" s="6">
        <v>123</v>
      </c>
      <c r="D14" t="str" cm="1">
        <f t="array" ref="D14">TERBILANG(A14)</f>
        <v>Seratus dua puluh tiga</v>
      </c>
      <c r="E14" t="str" cm="1">
        <f t="array" ref="E14">SPELLNUMBER(A14)</f>
        <v>Seratus dua puluh tiga</v>
      </c>
      <c r="F14" t="b">
        <f t="shared" si="0"/>
        <v>1</v>
      </c>
    </row>
    <row r="15" spans="1:6" x14ac:dyDescent="0.2">
      <c r="A15" s="6">
        <v>1234</v>
      </c>
      <c r="D15" t="str" cm="1">
        <f t="array" ref="D15">TERBILANG(A15)</f>
        <v>Seribu dua ratus tiga puluh empat</v>
      </c>
      <c r="E15" t="str" cm="1">
        <f t="array" ref="E15">SPELLNUMBER(A15)</f>
        <v>Seribu dua ratus tiga puluh empat</v>
      </c>
      <c r="F15" t="b">
        <f t="shared" si="0"/>
        <v>1</v>
      </c>
    </row>
    <row r="16" spans="1:6" x14ac:dyDescent="0.2">
      <c r="A16" s="6">
        <v>12345</v>
      </c>
      <c r="D16" t="str" cm="1">
        <f t="array" ref="D16">TERBILANG(A16)</f>
        <v>Dua belas ribu tiga ratus empat puluh lima</v>
      </c>
      <c r="E16" t="str" cm="1">
        <f t="array" ref="E16">SPELLNUMBER(A16)</f>
        <v>Dua belas ribu tiga ratus empat puluh lima</v>
      </c>
      <c r="F16" t="b">
        <f t="shared" si="0"/>
        <v>1</v>
      </c>
    </row>
    <row r="17" spans="1:6" x14ac:dyDescent="0.2">
      <c r="A17" s="6">
        <v>123456</v>
      </c>
      <c r="D17" t="str" cm="1">
        <f t="array" ref="D17">TERBILANG(A17)</f>
        <v>Seratus dua puluh tiga ribu empat ratus lima puluh enam</v>
      </c>
      <c r="E17" t="str" cm="1">
        <f t="array" ref="E17">SPELLNUMBER(A17)</f>
        <v>Seratus dua puluh tiga ribu empat ratus lima puluh enam</v>
      </c>
      <c r="F17" t="b">
        <f t="shared" si="0"/>
        <v>1</v>
      </c>
    </row>
    <row r="18" spans="1:6" x14ac:dyDescent="0.2">
      <c r="A18" s="6">
        <v>1234567</v>
      </c>
      <c r="D18" t="str" cm="1">
        <f t="array" ref="D18">TERBILANG(A18)</f>
        <v>Satu juta dua ratus tiga puluh empat ribu lima ratus enam puluh tujuh</v>
      </c>
      <c r="E18" t="str" cm="1">
        <f t="array" ref="E18">SPELLNUMBER(A18)</f>
        <v>Satu juta dua ratus tiga puluh empat ribu lima ratus enam puluh tujuh</v>
      </c>
      <c r="F18" t="b">
        <f t="shared" si="0"/>
        <v>1</v>
      </c>
    </row>
    <row r="19" spans="1:6" x14ac:dyDescent="0.2">
      <c r="A19" s="6">
        <v>12345678</v>
      </c>
      <c r="D19" t="str" cm="1">
        <f t="array" ref="D19">TERBILANG(A19)</f>
        <v>Dua belas juta tiga ratus empat puluh lima ribu enam ratus tujuh puluh delapan</v>
      </c>
      <c r="E19" t="str" cm="1">
        <f t="array" ref="E19">SPELLNUMBER(A19)</f>
        <v>Dua belas juta tiga ratus empat puluh lima ribu enam ratus tujuh puluh delapan</v>
      </c>
      <c r="F19" t="b">
        <f t="shared" si="0"/>
        <v>1</v>
      </c>
    </row>
    <row r="20" spans="1:6" x14ac:dyDescent="0.2">
      <c r="A20" s="6">
        <v>123456789</v>
      </c>
      <c r="D20" t="str" cm="1">
        <f t="array" ref="D20">TERBILANG(A20)</f>
        <v>Seratus dua puluh tiga juta empat ratus lima puluh enam ribu tujuh ratus delapan puluh sembilan</v>
      </c>
      <c r="E20" t="str" cm="1">
        <f t="array" ref="E20">SPELLNUMBER(A20)</f>
        <v>Seratus dua puluh tiga juta empat ratus lima puluh enam ribu tujuh ratus delapan puluh sembilan</v>
      </c>
      <c r="F20" t="b">
        <f t="shared" si="0"/>
        <v>1</v>
      </c>
    </row>
    <row r="21" spans="1:6" x14ac:dyDescent="0.2">
      <c r="A21" s="6">
        <v>1234567890</v>
      </c>
      <c r="D21" t="str" cm="1">
        <f t="array" ref="D21">TERBILANG(A21)</f>
        <v>Satu milyar dua ratus tiga puluh empat juta lima ratus enam puluh tujuh ribu delapan ratus sembilan puluh</v>
      </c>
      <c r="E21" t="str" cm="1">
        <f t="array" ref="E21">SPELLNUMBER(A21)</f>
        <v>Satu milyar dua ratus tiga puluh empat juta lima ratus enam puluh tujuh ribu delapan ratus sembilan puluh</v>
      </c>
      <c r="F21" t="b">
        <f t="shared" si="0"/>
        <v>1</v>
      </c>
    </row>
    <row r="22" spans="1:6" x14ac:dyDescent="0.2">
      <c r="A22" s="6">
        <v>12345678901</v>
      </c>
      <c r="B22">
        <v>1</v>
      </c>
      <c r="D22" t="str" cm="1">
        <f t="array" ref="D22">TERBILANG(A22,B22)</f>
        <v>DUA BELAS MILYAR TIGA RATUS EMPAT PULUH LIMA JUTA ENAM RATUS TUJUH PULUH DELAPAN RIBU SEMBILAN RATUS SATU</v>
      </c>
      <c r="E22" t="str" cm="1">
        <f t="array" ref="E22">SPELLNUMBER(A22,B22)</f>
        <v>DUA BELAS MILYAR TIGA RATUS EMPAT PULUH LIMA JUTA ENAM RATUS TUJUH PULUH DELAPAN RIBU SEMBILAN RATUS SATU</v>
      </c>
      <c r="F22" t="b">
        <f t="shared" si="0"/>
        <v>1</v>
      </c>
    </row>
    <row r="23" spans="1:6" x14ac:dyDescent="0.2">
      <c r="A23" s="6">
        <v>123456789012</v>
      </c>
      <c r="B23">
        <v>2</v>
      </c>
      <c r="D23" t="str" cm="1">
        <f t="array" ref="D23">TERBILANG(A23,B23)</f>
        <v>seratus dua puluh tiga milyar empat ratus lima puluh enam juta tujuh ratus delapan puluh sembilan ribu dua belas</v>
      </c>
      <c r="E23" t="str" cm="1">
        <f t="array" ref="E23">SPELLNUMBER(A23,B23)</f>
        <v>seratus dua puluh tiga milyar empat ratus lima puluh enam juta tujuh ratus delapan puluh sembilan ribu dua belas</v>
      </c>
      <c r="F23" t="b">
        <f t="shared" si="0"/>
        <v>1</v>
      </c>
    </row>
    <row r="24" spans="1:6" x14ac:dyDescent="0.2">
      <c r="A24" s="6">
        <v>1234567890123</v>
      </c>
      <c r="B24">
        <v>3</v>
      </c>
      <c r="D24" t="str" cm="1">
        <f t="array" ref="D24">TERBILANG(A24,B24)</f>
        <v>Satu Triliun Dua Ratus Tiga Puluh Empat Milyar Lima Ratus Enam Puluh Tujuh Juta Delapan Ratus Sembilan Puluh Ribu Seratus Dua Puluh Tiga</v>
      </c>
      <c r="E24" t="str" cm="1">
        <f t="array" ref="E24">SPELLNUMBER(A24,B24)</f>
        <v>Satu Triliun Dua Ratus Tiga Puluh Empat Milyar Lima Ratus Enam Puluh Tujuh Juta Delapan Ratus Sembilan Puluh Ribu Seratus Dua Puluh Tiga</v>
      </c>
      <c r="F24" t="b">
        <f t="shared" si="0"/>
        <v>1</v>
      </c>
    </row>
    <row r="25" spans="1:6" x14ac:dyDescent="0.2">
      <c r="A25" s="6">
        <v>12345678901234</v>
      </c>
      <c r="B25">
        <v>4</v>
      </c>
      <c r="C25" t="s">
        <v>4</v>
      </c>
      <c r="D25" t="str" cm="1">
        <f t="array" ref="D25">TERBILANG(A25,B25,C25)</f>
        <v>Dua belas triliun tiga ratus empat puluh lima milyar enam ratus tujuh puluh delapan juta sembilan ratus satu ribu dua ratus tiga puluh empat rupiah</v>
      </c>
      <c r="E25" t="str" cm="1">
        <f t="array" ref="E25">SPELLNUMBER(A25,B25,C25)</f>
        <v>Dua belas triliun tiga ratus empat puluh lima milyar enam ratus tujuh puluh delapan juta sembilan ratus satu ribu dua ratus tiga puluh empat rupiah</v>
      </c>
      <c r="F25" t="b">
        <f t="shared" si="0"/>
        <v>1</v>
      </c>
    </row>
    <row r="26" spans="1:6" x14ac:dyDescent="0.2">
      <c r="A26" s="6">
        <v>-123456789012345</v>
      </c>
      <c r="B26">
        <v>4</v>
      </c>
      <c r="C26" t="s">
        <v>6</v>
      </c>
      <c r="D26" t="str" cm="1">
        <f t="array" ref="D26">TERBILANG(A26,B26,C26)</f>
        <v>Minus seratus dua puluh tiga triliun empat ratus lima puluh enam milyar tujuh ratus delapan puluh sembilan juta dua belas ribu tiga ratus empat puluh lima dollar</v>
      </c>
      <c r="E26" t="str" cm="1">
        <f t="array" ref="E26">SPELLNUMBER(A26,B26,C26)</f>
        <v>Minus seratus dua puluh tiga triliun empat ratus lima puluh enam milyar tujuh ratus delapan puluh sembilan juta dua belas ribu tiga ratus empat puluh lima dollar</v>
      </c>
      <c r="F26" t="b">
        <f t="shared" si="0"/>
        <v>1</v>
      </c>
    </row>
    <row r="27" spans="1:6" x14ac:dyDescent="0.2">
      <c r="A2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office22470</cp:lastModifiedBy>
  <dcterms:created xsi:type="dcterms:W3CDTF">2019-02-07T08:03:25Z</dcterms:created>
  <dcterms:modified xsi:type="dcterms:W3CDTF">2025-09-29T06:55:59Z</dcterms:modified>
</cp:coreProperties>
</file>